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takecare/Documents/GitHub/leazr.co/"/>
    </mc:Choice>
  </mc:AlternateContent>
  <xr:revisionPtr revIDLastSave="0" documentId="13_ncr:1_{9C725E8A-25E8-064E-8407-C9F9EB36133B}" xr6:coauthVersionLast="47" xr6:coauthVersionMax="47" xr10:uidLastSave="{00000000-0000-0000-0000-000000000000}"/>
  <bookViews>
    <workbookView xWindow="3900" yWindow="2520" windowWidth="51200" windowHeight="27000" activeTab="10" xr2:uid="{00000000-000D-0000-FFFF-FFFF00000000}"/>
  </bookViews>
  <sheets>
    <sheet name="Vue d'ensemble" sheetId="1" r:id="rId1"/>
    <sheet name="180-10211" sheetId="2" r:id="rId2"/>
    <sheet name="180-10314" sheetId="3" r:id="rId3"/>
    <sheet name="180-10407" sheetId="4" r:id="rId4"/>
    <sheet name="180-10447" sheetId="5" r:id="rId5"/>
    <sheet name="180-10626" sheetId="6" r:id="rId6"/>
    <sheet name="180-10759" sheetId="7" r:id="rId7"/>
    <sheet name="180-10791" sheetId="8" r:id="rId8"/>
    <sheet name="180-10792" sheetId="9" r:id="rId9"/>
    <sheet name="180-11685" sheetId="10" r:id="rId10"/>
    <sheet name="180-12582" sheetId="11" r:id="rId11"/>
    <sheet name="180-12669" sheetId="12" r:id="rId12"/>
    <sheet name="180-1267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3" l="1"/>
  <c r="B19" i="13"/>
  <c r="B17" i="13"/>
  <c r="B16" i="13"/>
  <c r="B15" i="13"/>
  <c r="B24" i="12"/>
  <c r="B23" i="12"/>
  <c r="B21" i="12"/>
  <c r="B20" i="12"/>
  <c r="B19" i="12"/>
  <c r="B26" i="11"/>
  <c r="B25" i="11"/>
  <c r="B23" i="11"/>
  <c r="B22" i="11"/>
  <c r="B21" i="11"/>
  <c r="B25" i="10"/>
  <c r="B24" i="10"/>
  <c r="B22" i="10"/>
  <c r="B21" i="10"/>
  <c r="B20" i="10"/>
  <c r="B22" i="9"/>
  <c r="B21" i="9"/>
  <c r="B19" i="9"/>
  <c r="B18" i="9"/>
  <c r="B17" i="9"/>
  <c r="B20" i="8"/>
  <c r="B19" i="8"/>
  <c r="B17" i="8"/>
  <c r="B16" i="8"/>
  <c r="B15" i="8"/>
  <c r="B24" i="7"/>
  <c r="B23" i="7"/>
  <c r="B21" i="7"/>
  <c r="B20" i="7"/>
  <c r="B19" i="7"/>
  <c r="B24" i="6"/>
  <c r="B23" i="6"/>
  <c r="B21" i="6"/>
  <c r="B20" i="6"/>
  <c r="B19" i="6"/>
  <c r="B21" i="5"/>
  <c r="B20" i="5"/>
  <c r="B18" i="5"/>
  <c r="B17" i="5"/>
  <c r="B16" i="5"/>
  <c r="B21" i="4"/>
  <c r="B20" i="4"/>
  <c r="B18" i="4"/>
  <c r="B17" i="4"/>
  <c r="B16" i="4"/>
  <c r="B22" i="3"/>
  <c r="B21" i="3"/>
  <c r="B19" i="3"/>
  <c r="B18" i="3"/>
  <c r="B17" i="3"/>
  <c r="B24" i="2"/>
  <c r="B23" i="2"/>
  <c r="B21" i="2"/>
  <c r="B20" i="2"/>
  <c r="B19" i="2"/>
  <c r="E17" i="1"/>
</calcChain>
</file>

<file path=xl/sharedStrings.xml><?xml version="1.0" encoding="utf-8"?>
<sst xmlns="http://schemas.openxmlformats.org/spreadsheetml/2006/main" count="367" uniqueCount="110">
  <si>
    <t>Contrats de location — Xavier Gorskis (Athénée Royal Saint-Ghislain)</t>
  </si>
  <si>
    <t>TVA BE0850028321 · Bailleur : Grenke Lease · Durée 36 mois · Tous contrats actifs · Montants HTVA</t>
  </si>
  <si>
    <t>#</t>
  </si>
  <si>
    <t>N° contrat</t>
  </si>
  <si>
    <t>Date début</t>
  </si>
  <si>
    <t>Date fin</t>
  </si>
  <si>
    <t>Mensualité HTVA</t>
  </si>
  <si>
    <t>Équipement principal</t>
  </si>
  <si>
    <t>180-10211</t>
  </si>
  <si>
    <t>01/01/2024</t>
  </si>
  <si>
    <t>01/01/2027</t>
  </si>
  <si>
    <t>100× tablettes Samsung Galaxy Tab A8 + accessoires</t>
  </si>
  <si>
    <t>180-10314</t>
  </si>
  <si>
    <t>27× PC ThinkCentre M70s + écrans + RAM</t>
  </si>
  <si>
    <t>180-10407</t>
  </si>
  <si>
    <t>21× Mini PC ThinkCentre neo 50q + écrans</t>
  </si>
  <si>
    <t>180-10447</t>
  </si>
  <si>
    <t>180-10626</t>
  </si>
  <si>
    <t>Infrastructure réseau (switchs, câblage, imprimantes, baies)</t>
  </si>
  <si>
    <t>180-10759</t>
  </si>
  <si>
    <t>01/04/2024</t>
  </si>
  <si>
    <t>01/04/2027</t>
  </si>
  <si>
    <t>28× HP EliteDesk 800 G6 + écrans + tablettes Surface</t>
  </si>
  <si>
    <t>180-10791</t>
  </si>
  <si>
    <t>46× PC portables i3</t>
  </si>
  <si>
    <t>180-10792</t>
  </si>
  <si>
    <t>PC Studio Langue sur mesure + 2 écrans 4K + 13 casques</t>
  </si>
  <si>
    <t>180-11685</t>
  </si>
  <si>
    <t>01/10/2024</t>
  </si>
  <si>
    <t>01/10/2027</t>
  </si>
  <si>
    <t>Parc portables Lenovo/iPad + mini PC + écrans</t>
  </si>
  <si>
    <t>180-12582</t>
  </si>
  <si>
    <t>01/01/2025</t>
  </si>
  <si>
    <t>01/01/2028</t>
  </si>
  <si>
    <t>Serveur Mac Pro + portables + iPhone + imprimantes</t>
  </si>
  <si>
    <t>180-12669</t>
  </si>
  <si>
    <t>44× Acer Chromebook Plus 515 + armoire + périphériques</t>
  </si>
  <si>
    <t>180-12672</t>
  </si>
  <si>
    <t>ReMarkable 2 Essentials Bundle</t>
  </si>
  <si>
    <t>TOTAL</t>
  </si>
  <si>
    <t>12 contrats actifs</t>
  </si>
  <si>
    <t>Contrat 180-10211</t>
  </si>
  <si>
    <t>Emplacement :</t>
  </si>
  <si>
    <t>Bailleur</t>
  </si>
  <si>
    <t>Grenke Lease</t>
  </si>
  <si>
    <t>Date de début</t>
  </si>
  <si>
    <t>Date de fin</t>
  </si>
  <si>
    <t>Durée</t>
  </si>
  <si>
    <t>36 mois</t>
  </si>
  <si>
    <t>Statut</t>
  </si>
  <si>
    <t>Actif</t>
  </si>
  <si>
    <t>Mensualité totale HTVA</t>
  </si>
  <si>
    <t>Équipement</t>
  </si>
  <si>
    <t>Qté</t>
  </si>
  <si>
    <t>Désignation</t>
  </si>
  <si>
    <t>Samsung Galaxy Tab A8 64Go Wifi / 4Go RAM</t>
  </si>
  <si>
    <t>Samsung Chargeur rapide USB-C 25W</t>
  </si>
  <si>
    <t>Casque micro JBL</t>
  </si>
  <si>
    <t>Cover PU</t>
  </si>
  <si>
    <t>iPad 2020 (x7) + covers + stylets — Offert</t>
  </si>
  <si>
    <t>Total TVA</t>
  </si>
  <si>
    <t>Total TVAC / Mois</t>
  </si>
  <si>
    <t>Total TVAC / 36 mois</t>
  </si>
  <si>
    <t>Montant de l'assurance (annuel)</t>
  </si>
  <si>
    <t>Valeur Résiduelle (offerte)</t>
  </si>
  <si>
    <t>Contrat 180-10314</t>
  </si>
  <si>
    <t>ThinkCentre M70s SFF i3-10100 / 256Go / 8Go + souris</t>
  </si>
  <si>
    <t>Écran Samsung S24C360EAU</t>
  </si>
  <si>
    <t>Kingston KCP432SS8/8 (+8Go RAM)</t>
  </si>
  <si>
    <t>Contrat 180-10407</t>
  </si>
  <si>
    <t>Lenovo ThinkCentre neo 50q Mini PC i5-13420H + 8Go</t>
  </si>
  <si>
    <t>Contrat 180-10447</t>
  </si>
  <si>
    <t>Contrat 180-10626</t>
  </si>
  <si>
    <t>Switch 48 ports</t>
  </si>
  <si>
    <t>Brother DCP-L8410CDW color laser 31ppm</t>
  </si>
  <si>
    <t>Good Connections ANTARES T65 + FP (baie)</t>
  </si>
  <si>
    <t>Câbles RJ45</t>
  </si>
  <si>
    <t>Petit matériel (switch HDMI / câbles / adaptateurs)</t>
  </si>
  <si>
    <t>Contrat 180-10759</t>
  </si>
  <si>
    <t>HP EliteDesk 800 G6 mini i5/16Go/256Go + clavier + souris</t>
  </si>
  <si>
    <t>Écran Samsung S24C360EAU (lot 2)</t>
  </si>
  <si>
    <t>Écran AOC 24B2XHM2</t>
  </si>
  <si>
    <t>Tablettes Surface Go 2</t>
  </si>
  <si>
    <t>Contrat 180-10791</t>
  </si>
  <si>
    <t>PC Portable i3 ou éq. / 256Go / 16Go / AZERTY</t>
  </si>
  <si>
    <t>Contrat 180-10792</t>
  </si>
  <si>
    <t>PC Studio Langue sur mesure (Corsair 5000D, i7-12700KF, RTX 3060, 32Go DDR5, SSD 2To, Win 11 Pro)</t>
  </si>
  <si>
    <t>LG UltraFine 27UL550P-W 4K 27" IPS</t>
  </si>
  <si>
    <t>Casque Audio Studio WOODBRASS Original First</t>
  </si>
  <si>
    <t>Contrat 180-11685</t>
  </si>
  <si>
    <t>ThinkPad E16 i5/16Go/512 — SN SPF4TGCL9</t>
  </si>
  <si>
    <t>Lenovo ThinkBook 16 Gen6 — SN PW0A8TXX</t>
  </si>
  <si>
    <t>ThinkPad V15 i5/16Go/512 OpenBox — SN PF4HYQA5</t>
  </si>
  <si>
    <t>Lenovo ThinkCentre neo 50q Mini PC i5-13420H/8Go</t>
  </si>
  <si>
    <t>Écran Samsung 24" incurvé</t>
  </si>
  <si>
    <t>iPad 8e gen A12 32GB Wifi RFB</t>
  </si>
  <si>
    <t>Contrat 180-12582</t>
  </si>
  <si>
    <t>Lenovo ThinkBook 16 Gen6 i5/16/512 — SN PW0B88MD</t>
  </si>
  <si>
    <t>Lenovo ThinkCentre neo 50q Mini PC (bibliothèque)</t>
  </si>
  <si>
    <t>Serveur Apple Mac Pro (Active Directory)</t>
  </si>
  <si>
    <t>Apple iPhone 16 Pro Max 256GB Desert Titanium</t>
  </si>
  <si>
    <t>Epson EcoTank ET-16650</t>
  </si>
  <si>
    <t>Contrat 180-12669</t>
  </si>
  <si>
    <t>Acer Chromebook Plus 515 i3 / 8Go / 128SSD / 15,6"</t>
  </si>
  <si>
    <t>Good Connections Armoire PC ANTARES N30E</t>
  </si>
  <si>
    <t>Souris Logitech USB</t>
  </si>
  <si>
    <t>Hub USB-C vers USB-A</t>
  </si>
  <si>
    <t>Imprimantes Epson ET-2850</t>
  </si>
  <si>
    <t>Contrat 180-12672</t>
  </si>
  <si>
    <t>ReMarkable 2 Essentials Bundle -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</si>
</sst>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&quot;€/mois&quot;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6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6" fillId="5" borderId="1" xfId="0" applyFont="1" applyFill="1" applyBorder="1"/>
    <xf numFmtId="0" fontId="5" fillId="0" borderId="1" xfId="0" applyFont="1" applyBorder="1"/>
    <xf numFmtId="165" fontId="4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0" fontId="6" fillId="5" borderId="0" xfId="0" applyFont="1" applyFill="1"/>
    <xf numFmtId="165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4" width="13" customWidth="1"/>
    <col min="5" max="5" width="18" customWidth="1"/>
    <col min="6" max="6" width="56" customWidth="1"/>
  </cols>
  <sheetData>
    <row r="1" spans="1:6" ht="18" x14ac:dyDescent="0.2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s="4">
        <v>1</v>
      </c>
      <c r="B5" s="5" t="s">
        <v>8</v>
      </c>
      <c r="C5" s="4" t="s">
        <v>9</v>
      </c>
      <c r="D5" s="4" t="s">
        <v>10</v>
      </c>
      <c r="E5" s="6">
        <v>1075.6600000000001</v>
      </c>
      <c r="F5" s="7" t="s">
        <v>11</v>
      </c>
    </row>
    <row r="6" spans="1:6" x14ac:dyDescent="0.2">
      <c r="A6" s="8">
        <v>2</v>
      </c>
      <c r="B6" s="9" t="s">
        <v>12</v>
      </c>
      <c r="C6" s="8" t="s">
        <v>9</v>
      </c>
      <c r="D6" s="8" t="s">
        <v>10</v>
      </c>
      <c r="E6" s="10">
        <v>423.5</v>
      </c>
      <c r="F6" s="11" t="s">
        <v>13</v>
      </c>
    </row>
    <row r="7" spans="1:6" x14ac:dyDescent="0.2">
      <c r="A7" s="4">
        <v>3</v>
      </c>
      <c r="B7" s="5" t="s">
        <v>14</v>
      </c>
      <c r="C7" s="4" t="s">
        <v>9</v>
      </c>
      <c r="D7" s="4" t="s">
        <v>10</v>
      </c>
      <c r="E7" s="6">
        <v>452.51</v>
      </c>
      <c r="F7" s="7" t="s">
        <v>15</v>
      </c>
    </row>
    <row r="8" spans="1:6" x14ac:dyDescent="0.2">
      <c r="A8" s="8">
        <v>4</v>
      </c>
      <c r="B8" s="9" t="s">
        <v>16</v>
      </c>
      <c r="C8" s="8" t="s">
        <v>9</v>
      </c>
      <c r="D8" s="8" t="s">
        <v>10</v>
      </c>
      <c r="E8" s="10">
        <v>452.51</v>
      </c>
      <c r="F8" s="11" t="s">
        <v>15</v>
      </c>
    </row>
    <row r="9" spans="1:6" x14ac:dyDescent="0.2">
      <c r="A9" s="4">
        <v>5</v>
      </c>
      <c r="B9" s="5" t="s">
        <v>17</v>
      </c>
      <c r="C9" s="4" t="s">
        <v>9</v>
      </c>
      <c r="D9" s="4" t="s">
        <v>10</v>
      </c>
      <c r="E9" s="6">
        <v>291.81</v>
      </c>
      <c r="F9" s="7" t="s">
        <v>18</v>
      </c>
    </row>
    <row r="10" spans="1:6" x14ac:dyDescent="0.2">
      <c r="A10" s="8">
        <v>6</v>
      </c>
      <c r="B10" s="9" t="s">
        <v>19</v>
      </c>
      <c r="C10" s="8" t="s">
        <v>20</v>
      </c>
      <c r="D10" s="8" t="s">
        <v>21</v>
      </c>
      <c r="E10" s="10">
        <v>757.37</v>
      </c>
      <c r="F10" s="11" t="s">
        <v>22</v>
      </c>
    </row>
    <row r="11" spans="1:6" x14ac:dyDescent="0.2">
      <c r="A11" s="4">
        <v>7</v>
      </c>
      <c r="B11" s="5" t="s">
        <v>23</v>
      </c>
      <c r="C11" s="4" t="s">
        <v>20</v>
      </c>
      <c r="D11" s="4" t="s">
        <v>21</v>
      </c>
      <c r="E11" s="6">
        <v>712.36</v>
      </c>
      <c r="F11" s="7" t="s">
        <v>24</v>
      </c>
    </row>
    <row r="12" spans="1:6" x14ac:dyDescent="0.2">
      <c r="A12" s="8">
        <v>8</v>
      </c>
      <c r="B12" s="9" t="s">
        <v>25</v>
      </c>
      <c r="C12" s="8" t="s">
        <v>20</v>
      </c>
      <c r="D12" s="8" t="s">
        <v>21</v>
      </c>
      <c r="E12" s="10">
        <v>145.16999999999999</v>
      </c>
      <c r="F12" s="11" t="s">
        <v>26</v>
      </c>
    </row>
    <row r="13" spans="1:6" x14ac:dyDescent="0.2">
      <c r="A13" s="4">
        <v>9</v>
      </c>
      <c r="B13" s="5" t="s">
        <v>27</v>
      </c>
      <c r="C13" s="4" t="s">
        <v>28</v>
      </c>
      <c r="D13" s="4" t="s">
        <v>29</v>
      </c>
      <c r="E13" s="6">
        <v>402.26</v>
      </c>
      <c r="F13" s="7" t="s">
        <v>30</v>
      </c>
    </row>
    <row r="14" spans="1:6" x14ac:dyDescent="0.2">
      <c r="A14" s="8">
        <v>10</v>
      </c>
      <c r="B14" s="9" t="s">
        <v>31</v>
      </c>
      <c r="C14" s="8" t="s">
        <v>32</v>
      </c>
      <c r="D14" s="8" t="s">
        <v>33</v>
      </c>
      <c r="E14" s="10">
        <v>362.09</v>
      </c>
      <c r="F14" s="11" t="s">
        <v>34</v>
      </c>
    </row>
    <row r="15" spans="1:6" x14ac:dyDescent="0.2">
      <c r="A15" s="4">
        <v>11</v>
      </c>
      <c r="B15" s="5" t="s">
        <v>35</v>
      </c>
      <c r="C15" s="4" t="s">
        <v>32</v>
      </c>
      <c r="D15" s="4" t="s">
        <v>33</v>
      </c>
      <c r="E15" s="6">
        <v>658.38</v>
      </c>
      <c r="F15" s="7" t="s">
        <v>36</v>
      </c>
    </row>
    <row r="16" spans="1:6" x14ac:dyDescent="0.2">
      <c r="A16" s="8">
        <v>12</v>
      </c>
      <c r="B16" s="9" t="s">
        <v>37</v>
      </c>
      <c r="C16" s="8" t="s">
        <v>32</v>
      </c>
      <c r="D16" s="8" t="s">
        <v>33</v>
      </c>
      <c r="E16" s="10">
        <v>130</v>
      </c>
      <c r="F16" s="11" t="s">
        <v>38</v>
      </c>
    </row>
    <row r="17" spans="1:6" x14ac:dyDescent="0.2">
      <c r="A17" s="12"/>
      <c r="B17" s="13" t="s">
        <v>39</v>
      </c>
      <c r="C17" s="12"/>
      <c r="D17" s="12"/>
      <c r="E17" s="14">
        <f>SUM(E5:E16)</f>
        <v>5863.6200000000008</v>
      </c>
      <c r="F17" s="1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30" bestFit="1" customWidth="1"/>
    <col min="2" max="2" width="35.5" bestFit="1" customWidth="1"/>
  </cols>
  <sheetData>
    <row r="1" spans="1:2" ht="18" x14ac:dyDescent="0.2">
      <c r="A1" s="1" t="s">
        <v>41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9</v>
      </c>
    </row>
    <row r="6" spans="1:2" x14ac:dyDescent="0.2">
      <c r="A6" s="17" t="s">
        <v>46</v>
      </c>
      <c r="B6" s="18" t="s">
        <v>10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1075.6600000000001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100</v>
      </c>
      <c r="B13" s="21" t="s">
        <v>55</v>
      </c>
    </row>
    <row r="14" spans="1:2" ht="16" x14ac:dyDescent="0.2">
      <c r="A14" s="8">
        <v>100</v>
      </c>
      <c r="B14" s="22" t="s">
        <v>56</v>
      </c>
    </row>
    <row r="15" spans="1:2" ht="16" x14ac:dyDescent="0.2">
      <c r="A15" s="4">
        <v>50</v>
      </c>
      <c r="B15" s="21" t="s">
        <v>57</v>
      </c>
    </row>
    <row r="16" spans="1:2" ht="16" x14ac:dyDescent="0.2">
      <c r="A16" s="8">
        <v>100</v>
      </c>
      <c r="B16" s="22" t="s">
        <v>58</v>
      </c>
    </row>
    <row r="17" spans="1:2" ht="16" x14ac:dyDescent="0.2">
      <c r="A17" s="4">
        <v>1</v>
      </c>
      <c r="B17" s="21" t="s">
        <v>59</v>
      </c>
    </row>
    <row r="18" spans="1:2" x14ac:dyDescent="0.2">
      <c r="A18" s="13" t="s">
        <v>51</v>
      </c>
      <c r="B18" s="23">
        <v>1075.6600000000001</v>
      </c>
    </row>
    <row r="19" spans="1:2" x14ac:dyDescent="0.2">
      <c r="A19" s="24" t="s">
        <v>60</v>
      </c>
      <c r="B19" s="25">
        <f>B18*0.21</f>
        <v>225.8886</v>
      </c>
    </row>
    <row r="20" spans="1:2" x14ac:dyDescent="0.2">
      <c r="A20" s="24" t="s">
        <v>61</v>
      </c>
      <c r="B20" s="25">
        <f>B18*1.21</f>
        <v>1301.5486000000001</v>
      </c>
    </row>
    <row r="21" spans="1:2" x14ac:dyDescent="0.2">
      <c r="A21" s="24" t="s">
        <v>62</v>
      </c>
      <c r="B21" s="26">
        <f>B18*1.21*36</f>
        <v>46855.749600000003</v>
      </c>
    </row>
    <row r="23" spans="1:2" x14ac:dyDescent="0.2">
      <c r="A23" s="24" t="s">
        <v>63</v>
      </c>
      <c r="B23" s="26">
        <f>B18*36*0.035</f>
        <v>1355.3316000000002</v>
      </c>
    </row>
    <row r="24" spans="1:2" x14ac:dyDescent="0.2">
      <c r="A24" s="24" t="s">
        <v>64</v>
      </c>
      <c r="B24" s="26">
        <f>B18*36*0.035</f>
        <v>1355.3316000000002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30" bestFit="1" customWidth="1"/>
    <col min="2" max="2" width="43" bestFit="1" customWidth="1"/>
  </cols>
  <sheetData>
    <row r="1" spans="1:2" ht="18" x14ac:dyDescent="0.2">
      <c r="A1" s="1" t="s">
        <v>65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9</v>
      </c>
    </row>
    <row r="6" spans="1:2" x14ac:dyDescent="0.2">
      <c r="A6" s="17" t="s">
        <v>46</v>
      </c>
      <c r="B6" s="18" t="s">
        <v>10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423.5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27</v>
      </c>
      <c r="B13" s="21" t="s">
        <v>66</v>
      </c>
    </row>
    <row r="14" spans="1:2" ht="16" x14ac:dyDescent="0.2">
      <c r="A14" s="8">
        <v>27</v>
      </c>
      <c r="B14" s="22" t="s">
        <v>67</v>
      </c>
    </row>
    <row r="15" spans="1:2" ht="16" x14ac:dyDescent="0.2">
      <c r="A15" s="4">
        <v>27</v>
      </c>
      <c r="B15" s="21" t="s">
        <v>68</v>
      </c>
    </row>
    <row r="16" spans="1:2" x14ac:dyDescent="0.2">
      <c r="A16" s="13" t="s">
        <v>51</v>
      </c>
      <c r="B16" s="23">
        <v>423.5</v>
      </c>
    </row>
    <row r="17" spans="1:2" x14ac:dyDescent="0.2">
      <c r="A17" s="24" t="s">
        <v>60</v>
      </c>
      <c r="B17" s="25">
        <f>B16*0.21</f>
        <v>88.935000000000002</v>
      </c>
    </row>
    <row r="18" spans="1:2" x14ac:dyDescent="0.2">
      <c r="A18" s="24" t="s">
        <v>61</v>
      </c>
      <c r="B18" s="25">
        <f>B16*1.21</f>
        <v>512.43499999999995</v>
      </c>
    </row>
    <row r="19" spans="1:2" x14ac:dyDescent="0.2">
      <c r="A19" s="24" t="s">
        <v>62</v>
      </c>
      <c r="B19" s="26">
        <f>B16*1.21*36</f>
        <v>18447.659999999996</v>
      </c>
    </row>
    <row r="21" spans="1:2" x14ac:dyDescent="0.2">
      <c r="A21" s="24" t="s">
        <v>63</v>
      </c>
      <c r="B21" s="26">
        <f>B16*36*0.035</f>
        <v>533.61</v>
      </c>
    </row>
    <row r="22" spans="1:2" x14ac:dyDescent="0.2">
      <c r="A22" s="24" t="s">
        <v>64</v>
      </c>
      <c r="B22" s="26">
        <f>B16*36*0.035</f>
        <v>533.61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69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9</v>
      </c>
    </row>
    <row r="6" spans="1:2" x14ac:dyDescent="0.2">
      <c r="A6" s="17" t="s">
        <v>46</v>
      </c>
      <c r="B6" s="18" t="s">
        <v>10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452.51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21</v>
      </c>
      <c r="B13" s="21" t="s">
        <v>70</v>
      </c>
    </row>
    <row r="14" spans="1:2" ht="16" x14ac:dyDescent="0.2">
      <c r="A14" s="8">
        <v>21</v>
      </c>
      <c r="B14" s="22" t="s">
        <v>67</v>
      </c>
    </row>
    <row r="15" spans="1:2" x14ac:dyDescent="0.2">
      <c r="A15" s="13" t="s">
        <v>51</v>
      </c>
      <c r="B15" s="23">
        <v>452.51</v>
      </c>
    </row>
    <row r="16" spans="1:2" x14ac:dyDescent="0.2">
      <c r="A16" s="24" t="s">
        <v>60</v>
      </c>
      <c r="B16" s="25">
        <f>B15*0.21</f>
        <v>95.02709999999999</v>
      </c>
    </row>
    <row r="17" spans="1:2" x14ac:dyDescent="0.2">
      <c r="A17" s="24" t="s">
        <v>61</v>
      </c>
      <c r="B17" s="25">
        <f>B15*1.21</f>
        <v>547.53710000000001</v>
      </c>
    </row>
    <row r="18" spans="1:2" x14ac:dyDescent="0.2">
      <c r="A18" s="24" t="s">
        <v>62</v>
      </c>
      <c r="B18" s="26">
        <f>B15*1.21*36</f>
        <v>19711.335599999999</v>
      </c>
    </row>
    <row r="20" spans="1:2" x14ac:dyDescent="0.2">
      <c r="A20" s="24" t="s">
        <v>63</v>
      </c>
      <c r="B20" s="26">
        <f>B15*36*0.035</f>
        <v>570.16260000000011</v>
      </c>
    </row>
    <row r="21" spans="1:2" x14ac:dyDescent="0.2">
      <c r="A21" s="24" t="s">
        <v>64</v>
      </c>
      <c r="B21" s="26">
        <f>B15*36*0.035</f>
        <v>570.16260000000011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71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9</v>
      </c>
    </row>
    <row r="6" spans="1:2" x14ac:dyDescent="0.2">
      <c r="A6" s="17" t="s">
        <v>46</v>
      </c>
      <c r="B6" s="18" t="s">
        <v>10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452.51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21</v>
      </c>
      <c r="B13" s="21" t="s">
        <v>70</v>
      </c>
    </row>
    <row r="14" spans="1:2" ht="16" x14ac:dyDescent="0.2">
      <c r="A14" s="8">
        <v>21</v>
      </c>
      <c r="B14" s="22" t="s">
        <v>67</v>
      </c>
    </row>
    <row r="15" spans="1:2" x14ac:dyDescent="0.2">
      <c r="A15" s="13" t="s">
        <v>51</v>
      </c>
      <c r="B15" s="23">
        <v>452.51</v>
      </c>
    </row>
    <row r="16" spans="1:2" x14ac:dyDescent="0.2">
      <c r="A16" s="24" t="s">
        <v>60</v>
      </c>
      <c r="B16" s="25">
        <f>B15*0.21</f>
        <v>95.02709999999999</v>
      </c>
    </row>
    <row r="17" spans="1:2" x14ac:dyDescent="0.2">
      <c r="A17" s="24" t="s">
        <v>61</v>
      </c>
      <c r="B17" s="25">
        <f>B15*1.21</f>
        <v>547.53710000000001</v>
      </c>
    </row>
    <row r="18" spans="1:2" x14ac:dyDescent="0.2">
      <c r="A18" s="24" t="s">
        <v>62</v>
      </c>
      <c r="B18" s="26">
        <f>B15*1.21*36</f>
        <v>19711.335599999999</v>
      </c>
    </row>
    <row r="20" spans="1:2" x14ac:dyDescent="0.2">
      <c r="A20" s="24" t="s">
        <v>63</v>
      </c>
      <c r="B20" s="26">
        <f>B15*36*0.035</f>
        <v>570.16260000000011</v>
      </c>
    </row>
    <row r="21" spans="1:2" x14ac:dyDescent="0.2">
      <c r="A21" s="24" t="s">
        <v>64</v>
      </c>
      <c r="B21" s="26">
        <f>B15*36*0.035</f>
        <v>570.16260000000011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72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9</v>
      </c>
    </row>
    <row r="6" spans="1:2" x14ac:dyDescent="0.2">
      <c r="A6" s="17" t="s">
        <v>46</v>
      </c>
      <c r="B6" s="18" t="s">
        <v>10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291.81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3</v>
      </c>
      <c r="B13" s="21" t="s">
        <v>73</v>
      </c>
    </row>
    <row r="14" spans="1:2" ht="16" x14ac:dyDescent="0.2">
      <c r="A14" s="8">
        <v>3</v>
      </c>
      <c r="B14" s="22" t="s">
        <v>74</v>
      </c>
    </row>
    <row r="15" spans="1:2" ht="16" x14ac:dyDescent="0.2">
      <c r="A15" s="4">
        <v>2</v>
      </c>
      <c r="B15" s="21" t="s">
        <v>75</v>
      </c>
    </row>
    <row r="16" spans="1:2" ht="16" x14ac:dyDescent="0.2">
      <c r="A16" s="8">
        <v>1</v>
      </c>
      <c r="B16" s="22" t="s">
        <v>76</v>
      </c>
    </row>
    <row r="17" spans="1:2" ht="16" x14ac:dyDescent="0.2">
      <c r="A17" s="4">
        <v>1</v>
      </c>
      <c r="B17" s="21" t="s">
        <v>77</v>
      </c>
    </row>
    <row r="18" spans="1:2" x14ac:dyDescent="0.2">
      <c r="A18" s="13" t="s">
        <v>51</v>
      </c>
      <c r="B18" s="23">
        <v>291.81</v>
      </c>
    </row>
    <row r="19" spans="1:2" x14ac:dyDescent="0.2">
      <c r="A19" s="24" t="s">
        <v>60</v>
      </c>
      <c r="B19" s="25">
        <f>B18*0.21</f>
        <v>61.280099999999997</v>
      </c>
    </row>
    <row r="20" spans="1:2" x14ac:dyDescent="0.2">
      <c r="A20" s="24" t="s">
        <v>61</v>
      </c>
      <c r="B20" s="25">
        <f>B18*1.21</f>
        <v>353.09010000000001</v>
      </c>
    </row>
    <row r="21" spans="1:2" x14ac:dyDescent="0.2">
      <c r="A21" s="24" t="s">
        <v>62</v>
      </c>
      <c r="B21" s="26">
        <f>B18*1.21*36</f>
        <v>12711.2436</v>
      </c>
    </row>
    <row r="23" spans="1:2" x14ac:dyDescent="0.2">
      <c r="A23" s="24" t="s">
        <v>63</v>
      </c>
      <c r="B23" s="26">
        <f>B18*36*0.035</f>
        <v>367.68060000000003</v>
      </c>
    </row>
    <row r="24" spans="1:2" x14ac:dyDescent="0.2">
      <c r="A24" s="24" t="s">
        <v>64</v>
      </c>
      <c r="B24" s="26">
        <f>B18*36*0.035</f>
        <v>367.68060000000003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78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20</v>
      </c>
    </row>
    <row r="6" spans="1:2" x14ac:dyDescent="0.2">
      <c r="A6" s="17" t="s">
        <v>46</v>
      </c>
      <c r="B6" s="18" t="s">
        <v>21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757.37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28</v>
      </c>
      <c r="B13" s="21" t="s">
        <v>79</v>
      </c>
    </row>
    <row r="14" spans="1:2" ht="16" x14ac:dyDescent="0.2">
      <c r="A14" s="8">
        <v>28</v>
      </c>
      <c r="B14" s="22" t="s">
        <v>67</v>
      </c>
    </row>
    <row r="15" spans="1:2" ht="16" x14ac:dyDescent="0.2">
      <c r="A15" s="4">
        <v>18</v>
      </c>
      <c r="B15" s="21" t="s">
        <v>80</v>
      </c>
    </row>
    <row r="16" spans="1:2" ht="16" x14ac:dyDescent="0.2">
      <c r="A16" s="8">
        <v>10</v>
      </c>
      <c r="B16" s="22" t="s">
        <v>81</v>
      </c>
    </row>
    <row r="17" spans="1:2" ht="16" x14ac:dyDescent="0.2">
      <c r="A17" s="4">
        <v>4</v>
      </c>
      <c r="B17" s="21" t="s">
        <v>82</v>
      </c>
    </row>
    <row r="18" spans="1:2" x14ac:dyDescent="0.2">
      <c r="A18" s="13" t="s">
        <v>51</v>
      </c>
      <c r="B18" s="23">
        <v>757.37</v>
      </c>
    </row>
    <row r="19" spans="1:2" x14ac:dyDescent="0.2">
      <c r="A19" s="24" t="s">
        <v>60</v>
      </c>
      <c r="B19" s="25">
        <f>B18*0.21</f>
        <v>159.04769999999999</v>
      </c>
    </row>
    <row r="20" spans="1:2" x14ac:dyDescent="0.2">
      <c r="A20" s="24" t="s">
        <v>61</v>
      </c>
      <c r="B20" s="25">
        <f>B18*1.21</f>
        <v>916.41769999999997</v>
      </c>
    </row>
    <row r="21" spans="1:2" x14ac:dyDescent="0.2">
      <c r="A21" s="24" t="s">
        <v>62</v>
      </c>
      <c r="B21" s="26">
        <f>B18*1.21*36</f>
        <v>32991.037199999999</v>
      </c>
    </row>
    <row r="23" spans="1:2" x14ac:dyDescent="0.2">
      <c r="A23" s="24" t="s">
        <v>63</v>
      </c>
      <c r="B23" s="26">
        <f>B18*36*0.035</f>
        <v>954.28620000000012</v>
      </c>
    </row>
    <row r="24" spans="1:2" x14ac:dyDescent="0.2">
      <c r="A24" s="24" t="s">
        <v>64</v>
      </c>
      <c r="B24" s="26">
        <f>B18*36*0.035</f>
        <v>954.28620000000012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83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20</v>
      </c>
    </row>
    <row r="6" spans="1:2" x14ac:dyDescent="0.2">
      <c r="A6" s="17" t="s">
        <v>46</v>
      </c>
      <c r="B6" s="18" t="s">
        <v>21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712.36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46</v>
      </c>
      <c r="B13" s="21" t="s">
        <v>84</v>
      </c>
    </row>
    <row r="14" spans="1:2" x14ac:dyDescent="0.2">
      <c r="A14" s="13" t="s">
        <v>51</v>
      </c>
      <c r="B14" s="23">
        <v>712.36</v>
      </c>
    </row>
    <row r="15" spans="1:2" x14ac:dyDescent="0.2">
      <c r="A15" s="24" t="s">
        <v>60</v>
      </c>
      <c r="B15" s="25">
        <f>B14*0.21</f>
        <v>149.59559999999999</v>
      </c>
    </row>
    <row r="16" spans="1:2" x14ac:dyDescent="0.2">
      <c r="A16" s="24" t="s">
        <v>61</v>
      </c>
      <c r="B16" s="25">
        <f>B14*1.21</f>
        <v>861.9556</v>
      </c>
    </row>
    <row r="17" spans="1:2" x14ac:dyDescent="0.2">
      <c r="A17" s="24" t="s">
        <v>62</v>
      </c>
      <c r="B17" s="26">
        <f>B14*1.21*36</f>
        <v>31030.401600000001</v>
      </c>
    </row>
    <row r="19" spans="1:2" x14ac:dyDescent="0.2">
      <c r="A19" s="24" t="s">
        <v>63</v>
      </c>
      <c r="B19" s="26">
        <f>B14*36*0.035</f>
        <v>897.57360000000006</v>
      </c>
    </row>
    <row r="20" spans="1:2" x14ac:dyDescent="0.2">
      <c r="A20" s="24" t="s">
        <v>64</v>
      </c>
      <c r="B20" s="26">
        <f>B14*36*0.035</f>
        <v>897.57360000000006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85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20</v>
      </c>
    </row>
    <row r="6" spans="1:2" x14ac:dyDescent="0.2">
      <c r="A6" s="17" t="s">
        <v>46</v>
      </c>
      <c r="B6" s="18" t="s">
        <v>21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145.16999999999999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32" x14ac:dyDescent="0.2">
      <c r="A13" s="4">
        <v>1</v>
      </c>
      <c r="B13" s="21" t="s">
        <v>86</v>
      </c>
    </row>
    <row r="14" spans="1:2" ht="16" x14ac:dyDescent="0.2">
      <c r="A14" s="8">
        <v>2</v>
      </c>
      <c r="B14" s="22" t="s">
        <v>87</v>
      </c>
    </row>
    <row r="15" spans="1:2" ht="16" x14ac:dyDescent="0.2">
      <c r="A15" s="4">
        <v>13</v>
      </c>
      <c r="B15" s="21" t="s">
        <v>88</v>
      </c>
    </row>
    <row r="16" spans="1:2" x14ac:dyDescent="0.2">
      <c r="A16" s="13" t="s">
        <v>51</v>
      </c>
      <c r="B16" s="23">
        <v>145.16999999999999</v>
      </c>
    </row>
    <row r="17" spans="1:2" x14ac:dyDescent="0.2">
      <c r="A17" s="24" t="s">
        <v>60</v>
      </c>
      <c r="B17" s="25">
        <f>B16*0.21</f>
        <v>30.485699999999998</v>
      </c>
    </row>
    <row r="18" spans="1:2" x14ac:dyDescent="0.2">
      <c r="A18" s="24" t="s">
        <v>61</v>
      </c>
      <c r="B18" s="25">
        <f>B16*1.21</f>
        <v>175.65569999999997</v>
      </c>
    </row>
    <row r="19" spans="1:2" x14ac:dyDescent="0.2">
      <c r="A19" s="24" t="s">
        <v>62</v>
      </c>
      <c r="B19" s="26">
        <f>B16*1.21*36</f>
        <v>6323.6051999999991</v>
      </c>
    </row>
    <row r="21" spans="1:2" x14ac:dyDescent="0.2">
      <c r="A21" s="24" t="s">
        <v>63</v>
      </c>
      <c r="B21" s="26">
        <f>B16*36*0.035</f>
        <v>182.91420000000002</v>
      </c>
    </row>
    <row r="22" spans="1:2" x14ac:dyDescent="0.2">
      <c r="A22" s="24" t="s">
        <v>64</v>
      </c>
      <c r="B22" s="26">
        <f>B16*36*0.035</f>
        <v>182.91420000000002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89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28</v>
      </c>
    </row>
    <row r="6" spans="1:2" x14ac:dyDescent="0.2">
      <c r="A6" s="17" t="s">
        <v>46</v>
      </c>
      <c r="B6" s="18" t="s">
        <v>29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402.26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1</v>
      </c>
      <c r="B13" s="21" t="s">
        <v>90</v>
      </c>
    </row>
    <row r="14" spans="1:2" ht="16" x14ac:dyDescent="0.2">
      <c r="A14" s="8">
        <v>1</v>
      </c>
      <c r="B14" s="22" t="s">
        <v>91</v>
      </c>
    </row>
    <row r="15" spans="1:2" ht="16" x14ac:dyDescent="0.2">
      <c r="A15" s="4">
        <v>1</v>
      </c>
      <c r="B15" s="21" t="s">
        <v>92</v>
      </c>
    </row>
    <row r="16" spans="1:2" ht="16" x14ac:dyDescent="0.2">
      <c r="A16" s="8">
        <v>4</v>
      </c>
      <c r="B16" s="22" t="s">
        <v>93</v>
      </c>
    </row>
    <row r="17" spans="1:2" ht="16" x14ac:dyDescent="0.2">
      <c r="A17" s="4">
        <v>3</v>
      </c>
      <c r="B17" s="21" t="s">
        <v>94</v>
      </c>
    </row>
    <row r="18" spans="1:2" ht="16" x14ac:dyDescent="0.2">
      <c r="A18" s="8">
        <v>8</v>
      </c>
      <c r="B18" s="22" t="s">
        <v>95</v>
      </c>
    </row>
    <row r="19" spans="1:2" x14ac:dyDescent="0.2">
      <c r="A19" s="13" t="s">
        <v>51</v>
      </c>
      <c r="B19" s="23">
        <v>402.26</v>
      </c>
    </row>
    <row r="20" spans="1:2" x14ac:dyDescent="0.2">
      <c r="A20" s="24" t="s">
        <v>60</v>
      </c>
      <c r="B20" s="25">
        <f>B19*0.21</f>
        <v>84.474599999999995</v>
      </c>
    </row>
    <row r="21" spans="1:2" x14ac:dyDescent="0.2">
      <c r="A21" s="24" t="s">
        <v>61</v>
      </c>
      <c r="B21" s="25">
        <f>B19*1.21</f>
        <v>486.7346</v>
      </c>
    </row>
    <row r="22" spans="1:2" x14ac:dyDescent="0.2">
      <c r="A22" s="24" t="s">
        <v>62</v>
      </c>
      <c r="B22" s="26">
        <f>B19*1.21*36</f>
        <v>17522.445599999999</v>
      </c>
    </row>
    <row r="24" spans="1:2" x14ac:dyDescent="0.2">
      <c r="A24" s="24" t="s">
        <v>63</v>
      </c>
      <c r="B24" s="26">
        <f>B19*36*0.035</f>
        <v>506.84760000000006</v>
      </c>
    </row>
    <row r="25" spans="1:2" x14ac:dyDescent="0.2">
      <c r="A25" s="24" t="s">
        <v>64</v>
      </c>
      <c r="B25" s="26">
        <f>B19*36*0.035</f>
        <v>506.84760000000006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30" bestFit="1" customWidth="1"/>
    <col min="2" max="2" width="64" customWidth="1"/>
  </cols>
  <sheetData>
    <row r="1" spans="1:2" ht="18" x14ac:dyDescent="0.2">
      <c r="A1" s="1" t="s">
        <v>96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32</v>
      </c>
    </row>
    <row r="6" spans="1:2" x14ac:dyDescent="0.2">
      <c r="A6" s="17" t="s">
        <v>46</v>
      </c>
      <c r="B6" s="18" t="s">
        <v>33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362.09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1</v>
      </c>
      <c r="B13" s="21" t="s">
        <v>97</v>
      </c>
    </row>
    <row r="14" spans="1:2" ht="16" x14ac:dyDescent="0.2">
      <c r="A14" s="8">
        <v>2</v>
      </c>
      <c r="B14" s="22" t="s">
        <v>98</v>
      </c>
    </row>
    <row r="15" spans="1:2" ht="16" x14ac:dyDescent="0.2">
      <c r="A15" s="4">
        <v>1</v>
      </c>
      <c r="B15" s="21" t="s">
        <v>99</v>
      </c>
    </row>
    <row r="16" spans="1:2" ht="16" x14ac:dyDescent="0.2">
      <c r="A16" s="8">
        <v>2</v>
      </c>
      <c r="B16" s="22" t="s">
        <v>94</v>
      </c>
    </row>
    <row r="17" spans="1:2" ht="16" x14ac:dyDescent="0.2">
      <c r="A17" s="4">
        <v>1</v>
      </c>
      <c r="B17" s="21" t="s">
        <v>100</v>
      </c>
    </row>
    <row r="18" spans="1:2" ht="16" x14ac:dyDescent="0.2">
      <c r="A18" s="8">
        <v>1</v>
      </c>
      <c r="B18" s="22" t="s">
        <v>74</v>
      </c>
    </row>
    <row r="19" spans="1:2" ht="16" x14ac:dyDescent="0.2">
      <c r="A19" s="4">
        <v>1</v>
      </c>
      <c r="B19" s="21" t="s">
        <v>101</v>
      </c>
    </row>
    <row r="20" spans="1:2" x14ac:dyDescent="0.2">
      <c r="A20" s="13" t="s">
        <v>51</v>
      </c>
      <c r="B20" s="23">
        <v>362.09</v>
      </c>
    </row>
    <row r="21" spans="1:2" x14ac:dyDescent="0.2">
      <c r="A21" s="24" t="s">
        <v>60</v>
      </c>
      <c r="B21" s="25">
        <f>B20*0.21</f>
        <v>76.038899999999998</v>
      </c>
    </row>
    <row r="22" spans="1:2" x14ac:dyDescent="0.2">
      <c r="A22" s="24" t="s">
        <v>61</v>
      </c>
      <c r="B22" s="25">
        <f>B20*1.21</f>
        <v>438.12889999999993</v>
      </c>
    </row>
    <row r="23" spans="1:2" x14ac:dyDescent="0.2">
      <c r="A23" s="24" t="s">
        <v>62</v>
      </c>
      <c r="B23" s="26">
        <f>B20*1.21*36</f>
        <v>15772.640399999997</v>
      </c>
    </row>
    <row r="25" spans="1:2" x14ac:dyDescent="0.2">
      <c r="A25" s="24" t="s">
        <v>63</v>
      </c>
      <c r="B25" s="26">
        <f>B20*36*0.035</f>
        <v>456.23340000000002</v>
      </c>
    </row>
    <row r="26" spans="1:2" x14ac:dyDescent="0.2">
      <c r="A26" s="24" t="s">
        <v>64</v>
      </c>
      <c r="B26" s="26">
        <f>B20*36*0.035</f>
        <v>456.23340000000002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102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32</v>
      </c>
    </row>
    <row r="6" spans="1:2" x14ac:dyDescent="0.2">
      <c r="A6" s="17" t="s">
        <v>46</v>
      </c>
      <c r="B6" s="18" t="s">
        <v>33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658.38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44</v>
      </c>
      <c r="B13" s="21" t="s">
        <v>103</v>
      </c>
    </row>
    <row r="14" spans="1:2" ht="16" x14ac:dyDescent="0.2">
      <c r="A14" s="8">
        <v>1</v>
      </c>
      <c r="B14" s="22" t="s">
        <v>104</v>
      </c>
    </row>
    <row r="15" spans="1:2" ht="16" x14ac:dyDescent="0.2">
      <c r="A15" s="4">
        <v>44</v>
      </c>
      <c r="B15" s="21" t="s">
        <v>105</v>
      </c>
    </row>
    <row r="16" spans="1:2" ht="16" x14ac:dyDescent="0.2">
      <c r="A16" s="8">
        <v>44</v>
      </c>
      <c r="B16" s="22" t="s">
        <v>106</v>
      </c>
    </row>
    <row r="17" spans="1:2" ht="16" x14ac:dyDescent="0.2">
      <c r="A17" s="4">
        <v>2</v>
      </c>
      <c r="B17" s="21" t="s">
        <v>107</v>
      </c>
    </row>
    <row r="18" spans="1:2" x14ac:dyDescent="0.2">
      <c r="A18" s="13" t="s">
        <v>51</v>
      </c>
      <c r="B18" s="23">
        <v>658.38</v>
      </c>
    </row>
    <row r="19" spans="1:2" x14ac:dyDescent="0.2">
      <c r="A19" s="24" t="s">
        <v>60</v>
      </c>
      <c r="B19" s="25">
        <f>B18*0.21</f>
        <v>138.25979999999998</v>
      </c>
    </row>
    <row r="20" spans="1:2" x14ac:dyDescent="0.2">
      <c r="A20" s="24" t="s">
        <v>61</v>
      </c>
      <c r="B20" s="25">
        <f>B18*1.21</f>
        <v>796.63979999999992</v>
      </c>
    </row>
    <row r="21" spans="1:2" x14ac:dyDescent="0.2">
      <c r="A21" s="24" t="s">
        <v>62</v>
      </c>
      <c r="B21" s="26">
        <f>B18*1.21*36</f>
        <v>28679.032799999997</v>
      </c>
    </row>
    <row r="23" spans="1:2" x14ac:dyDescent="0.2">
      <c r="A23" s="24" t="s">
        <v>63</v>
      </c>
      <c r="B23" s="26">
        <f>B18*36*0.035</f>
        <v>829.55880000000013</v>
      </c>
    </row>
    <row r="24" spans="1:2" x14ac:dyDescent="0.2">
      <c r="A24" s="24" t="s">
        <v>64</v>
      </c>
      <c r="B24" s="26">
        <f>B18*36*0.035</f>
        <v>829.55880000000013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0"/>
  <sheetViews>
    <sheetView workbookViewId="0"/>
  </sheetViews>
  <sheetFormatPr baseColWidth="10" defaultColWidth="8.83203125" defaultRowHeight="15" x14ac:dyDescent="0.2"/>
  <cols>
    <col min="1" max="1" width="7" customWidth="1"/>
    <col min="2" max="2" width="64" customWidth="1"/>
  </cols>
  <sheetData>
    <row r="1" spans="1:2" ht="18" x14ac:dyDescent="0.2">
      <c r="A1" s="1" t="s">
        <v>108</v>
      </c>
    </row>
    <row r="2" spans="1:2" x14ac:dyDescent="0.2">
      <c r="A2" s="15" t="s">
        <v>42</v>
      </c>
      <c r="B2" s="16"/>
    </row>
    <row r="4" spans="1:2" x14ac:dyDescent="0.2">
      <c r="A4" s="17" t="s">
        <v>43</v>
      </c>
      <c r="B4" s="18" t="s">
        <v>44</v>
      </c>
    </row>
    <row r="5" spans="1:2" x14ac:dyDescent="0.2">
      <c r="A5" s="17" t="s">
        <v>45</v>
      </c>
      <c r="B5" s="18" t="s">
        <v>32</v>
      </c>
    </row>
    <row r="6" spans="1:2" x14ac:dyDescent="0.2">
      <c r="A6" s="17" t="s">
        <v>46</v>
      </c>
      <c r="B6" s="18" t="s">
        <v>33</v>
      </c>
    </row>
    <row r="7" spans="1:2" x14ac:dyDescent="0.2">
      <c r="A7" s="17" t="s">
        <v>47</v>
      </c>
      <c r="B7" s="18" t="s">
        <v>48</v>
      </c>
    </row>
    <row r="8" spans="1:2" x14ac:dyDescent="0.2">
      <c r="A8" s="17" t="s">
        <v>49</v>
      </c>
      <c r="B8" s="18" t="s">
        <v>50</v>
      </c>
    </row>
    <row r="9" spans="1:2" x14ac:dyDescent="0.2">
      <c r="A9" s="17" t="s">
        <v>51</v>
      </c>
      <c r="B9" s="19">
        <v>130</v>
      </c>
    </row>
    <row r="11" spans="1:2" ht="16" x14ac:dyDescent="0.2">
      <c r="A11" s="20" t="s">
        <v>52</v>
      </c>
    </row>
    <row r="12" spans="1:2" x14ac:dyDescent="0.2">
      <c r="A12" s="3" t="s">
        <v>53</v>
      </c>
      <c r="B12" s="3" t="s">
        <v>54</v>
      </c>
    </row>
    <row r="13" spans="1:2" ht="16" x14ac:dyDescent="0.2">
      <c r="A13" s="4">
        <v>1</v>
      </c>
      <c r="B13" s="21" t="s">
        <v>109</v>
      </c>
    </row>
    <row r="14" spans="1:2" x14ac:dyDescent="0.2">
      <c r="A14" s="13" t="s">
        <v>51</v>
      </c>
      <c r="B14" s="23">
        <v>130</v>
      </c>
    </row>
    <row r="15" spans="1:2" x14ac:dyDescent="0.2">
      <c r="A15" s="24" t="s">
        <v>60</v>
      </c>
      <c r="B15" s="25">
        <f>B14*0.21</f>
        <v>27.3</v>
      </c>
    </row>
    <row r="16" spans="1:2" x14ac:dyDescent="0.2">
      <c r="A16" s="24" t="s">
        <v>61</v>
      </c>
      <c r="B16" s="25">
        <f>B14*1.21</f>
        <v>157.29999999999998</v>
      </c>
    </row>
    <row r="17" spans="1:2" x14ac:dyDescent="0.2">
      <c r="A17" s="24" t="s">
        <v>62</v>
      </c>
      <c r="B17" s="26">
        <f>B14*1.21*36</f>
        <v>5662.7999999999993</v>
      </c>
    </row>
    <row r="19" spans="1:2" x14ac:dyDescent="0.2">
      <c r="A19" s="24" t="s">
        <v>63</v>
      </c>
      <c r="B19" s="26">
        <f>B14*36*0.035</f>
        <v>163.80000000000001</v>
      </c>
    </row>
    <row r="20" spans="1:2" x14ac:dyDescent="0.2">
      <c r="A20" s="24" t="s">
        <v>64</v>
      </c>
      <c r="B20" s="26">
        <f>B14*36*0.035</f>
        <v>163.80000000000001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Vue d'ensemble</vt:lpstr>
      <vt:lpstr>180-10211</vt:lpstr>
      <vt:lpstr>180-10314</vt:lpstr>
      <vt:lpstr>180-10407</vt:lpstr>
      <vt:lpstr>180-10447</vt:lpstr>
      <vt:lpstr>180-10626</vt:lpstr>
      <vt:lpstr>180-10759</vt:lpstr>
      <vt:lpstr>180-10791</vt:lpstr>
      <vt:lpstr>180-10792</vt:lpstr>
      <vt:lpstr>180-11685</vt:lpstr>
      <vt:lpstr>180-12582</vt:lpstr>
      <vt:lpstr>180-12669</vt:lpstr>
      <vt:lpstr>180-12672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Gianni Sergi</cp:lastModifiedBy>
  <dcterms:created xsi:type="dcterms:W3CDTF">2026-06-16T09:15:51Z</dcterms:created>
  <dcterms:modified xsi:type="dcterms:W3CDTF">2026-06-16T11:11:17Z</dcterms:modified>
</cp:coreProperties>
</file>